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5CF614C8-068F-42BD-9FD6-628A506D32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K17" i="1"/>
  <c r="J17" i="1"/>
  <c r="J18" i="1"/>
  <c r="I17" i="1"/>
  <c r="H17" i="1"/>
  <c r="G17" i="1"/>
  <c r="F17" i="1"/>
  <c r="E17" i="1"/>
  <c r="O18" i="1"/>
  <c r="N18" i="1"/>
  <c r="M18" i="1"/>
  <c r="L18" i="1"/>
  <c r="K18" i="1"/>
  <c r="I18" i="1"/>
  <c r="H18" i="1"/>
  <c r="G18" i="1"/>
  <c r="F18" i="1"/>
  <c r="E18" i="1"/>
  <c r="D18" i="1"/>
  <c r="D17" i="1"/>
</calcChain>
</file>

<file path=xl/sharedStrings.xml><?xml version="1.0" encoding="utf-8"?>
<sst xmlns="http://schemas.openxmlformats.org/spreadsheetml/2006/main" count="57" uniqueCount="46">
  <si>
    <t xml:space="preserve">SPRINT 2 BURNDOWN CHART </t>
  </si>
  <si>
    <t>Activity code</t>
  </si>
  <si>
    <t>Activity Description</t>
  </si>
  <si>
    <t>Initial Estimate</t>
  </si>
  <si>
    <t>Day 0</t>
  </si>
  <si>
    <t xml:space="preserve">Day 1 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</si>
  <si>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</si>
  <si>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</si>
  <si>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</si>
  <si>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</si>
  <si>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</si>
  <si>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</si>
  <si>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</si>
  <si>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</si>
  <si>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</si>
  <si>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</si>
  <si>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PR.4 / PR.5</t>
  </si>
  <si>
    <t>Συνέχεια των ανωτέρω εργασιών λόγω μη περάτωσης στο προηγούμενο SPRINT</t>
  </si>
  <si>
    <t>R2.A</t>
  </si>
  <si>
    <t>Σύνδεση με το API</t>
  </si>
  <si>
    <t>R2.B</t>
  </si>
  <si>
    <t xml:space="preserve">Επεξεργασία των ληφθέντων JSON </t>
  </si>
  <si>
    <t>R2.C</t>
  </si>
  <si>
    <t>Υλοποίηση σχετικού GUI στο οποίο γίνεται η αναζήτηση</t>
  </si>
  <si>
    <t>R2.D</t>
  </si>
  <si>
    <t>Υλοποίηση αναζήτησης άρθρου με βάση keyword</t>
  </si>
  <si>
    <t xml:space="preserve"> </t>
  </si>
  <si>
    <t>R2.E</t>
  </si>
  <si>
    <t>Υλοποίησης προβολής λίστας άρθρων που φέρνει το API</t>
  </si>
  <si>
    <t>R2.F</t>
  </si>
  <si>
    <t>Υλοποίηση δυνατότητας προβολής του άρθρου</t>
  </si>
  <si>
    <t>R3</t>
  </si>
  <si>
    <t>Υλοποίηση δυνατότητας αποθήκευσης του άρθρου στην τοπική ΒΔ ( γίνεται κατά την προβολή R2.F )</t>
  </si>
  <si>
    <t>R4.A</t>
  </si>
  <si>
    <t xml:space="preserve">Υλοποίηση σχετικού GUI στο οποίο γίνεται η προβολή αποθηκευμένων άρθρων </t>
  </si>
  <si>
    <t>R4.B</t>
  </si>
  <si>
    <t>Υλοποίηση δυνατότητας αναζήτησης με keyword για αποθηκευμένα άρθρα</t>
  </si>
  <si>
    <t>R4.C</t>
  </si>
  <si>
    <t xml:space="preserve">Υλοποίηση δυνατότητας αναζήτησης ανά κατηγορία για αποθηκευμένα άρθρα </t>
  </si>
  <si>
    <t>Remaining Effort from initial estimate</t>
  </si>
  <si>
    <t>Ideal Trend</t>
  </si>
  <si>
    <t>aggregate hours of actual effort</t>
  </si>
  <si>
    <t>Ώρες που χρειάστηκαν ανά δραστηριότητα</t>
  </si>
  <si>
    <t>ACTIVITY CODE</t>
  </si>
  <si>
    <t>COMPARED WITH ESTIMATE</t>
  </si>
  <si>
    <t>ΣΥΝΟΛΟ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</si>
</sst>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ahoma"/>
      <family val="2"/>
      <scheme val="minor"/>
    </font>
    <font>
      <sz val="12"/>
      <color rgb="FF000000"/>
      <name val="Tahoma"/>
      <family val="2"/>
      <scheme val="minor"/>
    </font>
    <font>
      <sz val="11"/>
      <color rgb="FF000000"/>
      <name val="Calibri"/>
      <charset val="1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17" fontId="3" fillId="4" borderId="3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3" fillId="5" borderId="0" xfId="0" applyFont="1" applyFill="1"/>
    <xf numFmtId="0" fontId="6" fillId="9" borderId="13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4" fillId="5" borderId="3" xfId="1" applyNumberFormat="1" applyFont="1" applyFill="1" applyBorder="1" applyAlignment="1">
      <alignment horizontal="center" vertical="center" indent="1"/>
    </xf>
    <xf numFmtId="0" fontId="5" fillId="6" borderId="3" xfId="1" applyNumberFormat="1" applyFont="1" applyFill="1" applyBorder="1" applyAlignment="1">
      <alignment horizontal="center" vertical="center" indent="1"/>
    </xf>
    <xf numFmtId="0" fontId="4" fillId="6" borderId="3" xfId="1" applyNumberFormat="1" applyFont="1" applyFill="1" applyBorder="1" applyAlignment="1">
      <alignment horizontal="center" vertical="center" indent="1"/>
    </xf>
    <xf numFmtId="0" fontId="4" fillId="6" borderId="3" xfId="0" applyFont="1" applyFill="1" applyBorder="1" applyAlignment="1">
      <alignment horizontal="center" vertical="center" indent="1"/>
    </xf>
    <xf numFmtId="0" fontId="4" fillId="6" borderId="6" xfId="0" applyFont="1" applyFill="1" applyBorder="1" applyAlignment="1">
      <alignment horizontal="center" vertical="center" indent="1"/>
    </xf>
    <xf numFmtId="0" fontId="0" fillId="9" borderId="0" xfId="0" applyFill="1" applyAlignment="1">
      <alignment horizontal="center"/>
    </xf>
    <xf numFmtId="0" fontId="4" fillId="11" borderId="3" xfId="1" applyNumberFormat="1" applyFont="1" applyFill="1" applyBorder="1" applyAlignment="1">
      <alignment horizontal="center" vertical="center" indent="1"/>
    </xf>
    <xf numFmtId="0" fontId="5" fillId="11" borderId="3" xfId="1" applyNumberFormat="1" applyFont="1" applyFill="1" applyBorder="1" applyAlignment="1">
      <alignment horizontal="center" vertical="center" indent="1"/>
    </xf>
    <xf numFmtId="0" fontId="4" fillId="11" borderId="3" xfId="0" applyFont="1" applyFill="1" applyBorder="1" applyAlignment="1">
      <alignment horizontal="center" vertical="center" indent="1"/>
    </xf>
    <xf numFmtId="0" fontId="4" fillId="11" borderId="6" xfId="0" applyFont="1" applyFill="1" applyBorder="1" applyAlignment="1">
      <alignment horizontal="center" vertical="center" indent="1"/>
    </xf>
    <xf numFmtId="0" fontId="7" fillId="11" borderId="3" xfId="0" applyFont="1" applyFill="1" applyBorder="1" applyAlignment="1">
      <alignment horizontal="center"/>
    </xf>
    <xf numFmtId="0" fontId="3" fillId="11" borderId="3" xfId="0" applyFont="1" applyFill="1" applyBorder="1"/>
    <xf numFmtId="0" fontId="4" fillId="11" borderId="4" xfId="1" applyNumberFormat="1" applyFont="1" applyFill="1" applyBorder="1" applyAlignment="1">
      <alignment horizontal="center" vertical="center" inden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2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Remaining Effort from initial 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Sheet1!D5:O5</c:f>
              <c:strCache>
                <c:ptCount val="12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</c:strCache>
            </c:strRef>
          </c:cat>
          <c:val>
            <c:numRef>
              <c:f>Sheet1!$C$17:$O$17</c:f>
              <c:numCache>
                <c:formatCode>General</c:formatCode>
                <c:ptCount val="13"/>
                <c:pt idx="1">
                  <c:v>84</c:v>
                </c:pt>
                <c:pt idx="2">
                  <c:v>84</c:v>
                </c:pt>
                <c:pt idx="3">
                  <c:v>76</c:v>
                </c:pt>
                <c:pt idx="4">
                  <c:v>64</c:v>
                </c:pt>
                <c:pt idx="5">
                  <c:v>60</c:v>
                </c:pt>
                <c:pt idx="6">
                  <c:v>46</c:v>
                </c:pt>
                <c:pt idx="7">
                  <c:v>32</c:v>
                </c:pt>
                <c:pt idx="8">
                  <c:v>12</c:v>
                </c:pt>
                <c:pt idx="9">
                  <c:v>12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A-436D-94CA-81264F551B5A}"/>
            </c:ext>
          </c:extLst>
        </c:ser>
        <c:ser>
          <c:idx val="1"/>
          <c:order val="1"/>
          <c:tx>
            <c:strRef>
              <c:f>Sheet1!$B$18</c:f>
              <c:strCache>
                <c:ptCount val="1"/>
                <c:pt idx="0">
                  <c:v>Ideal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Sheet1!D5:O5</c:f>
              <c:strCache>
                <c:ptCount val="12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</c:strCache>
            </c:strRef>
          </c:cat>
          <c:val>
            <c:numRef>
              <c:f>Sheet1!$C$18:$O$18</c:f>
              <c:numCache>
                <c:formatCode>General</c:formatCode>
                <c:ptCount val="13"/>
                <c:pt idx="1">
                  <c:v>84</c:v>
                </c:pt>
                <c:pt idx="2">
                  <c:v>76.36363636363636</c:v>
                </c:pt>
                <c:pt idx="3">
                  <c:v>68.72727272727272</c:v>
                </c:pt>
                <c:pt idx="4">
                  <c:v>61.090909090909093</c:v>
                </c:pt>
                <c:pt idx="5">
                  <c:v>53.454545454545453</c:v>
                </c:pt>
                <c:pt idx="6">
                  <c:v>45.818181818181813</c:v>
                </c:pt>
                <c:pt idx="7">
                  <c:v>38.18181818181818</c:v>
                </c:pt>
                <c:pt idx="8">
                  <c:v>30.545454545454547</c:v>
                </c:pt>
                <c:pt idx="9">
                  <c:v>22.909090909090907</c:v>
                </c:pt>
                <c:pt idx="10">
                  <c:v>15.272727272727266</c:v>
                </c:pt>
                <c:pt idx="11">
                  <c:v>7.636363636363626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BA-436D-94CA-81264F551B5A}"/>
            </c:ext>
          </c:extLst>
        </c:ser>
        <c:ser>
          <c:idx val="2"/>
          <c:order val="2"/>
          <c:tx>
            <c:strRef>
              <c:f>Sheet1!$B$19</c:f>
              <c:strCache>
                <c:ptCount val="1"/>
                <c:pt idx="0">
                  <c:v>aggregate hours of actual effort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Sheet1!D5:O5</c:f>
              <c:strCache>
                <c:ptCount val="12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</c:strCache>
            </c:strRef>
          </c:cat>
          <c:val>
            <c:numRef>
              <c:f>Sheet1!$C$19:$O$19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16</c:v>
                </c:pt>
                <c:pt idx="5">
                  <c:v>20</c:v>
                </c:pt>
                <c:pt idx="6">
                  <c:v>34</c:v>
                </c:pt>
                <c:pt idx="7">
                  <c:v>48</c:v>
                </c:pt>
                <c:pt idx="8">
                  <c:v>70</c:v>
                </c:pt>
                <c:pt idx="9">
                  <c:v>70</c:v>
                </c:pt>
                <c:pt idx="10">
                  <c:v>78</c:v>
                </c:pt>
                <c:pt idx="11">
                  <c:v>82</c:v>
                </c:pt>
                <c:pt idx="1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BA-436D-94CA-81264F551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639880"/>
        <c:axId val="1546641928"/>
      </c:lineChart>
      <c:catAx>
        <c:axId val="154663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41928"/>
        <c:crosses val="autoZero"/>
        <c:auto val="1"/>
        <c:lblAlgn val="ctr"/>
        <c:lblOffset val="100"/>
        <c:noMultiLvlLbl val="0"/>
      </c:catAx>
      <c:valAx>
        <c:axId val="154664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3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18</xdr:row>
      <xdr:rowOff>180975</xdr:rowOff>
    </xdr:from>
    <xdr:to>
      <xdr:col>24</xdr:col>
      <xdr:colOff>457200</xdr:colOff>
      <xdr:row>39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250B2-8205-DF00-6A4D-E6127A5FB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3"/>
  <sheetViews>
    <sheetView tabSelected="1" workbookViewId="0">
      <selection activeCell="C21" sqref="C21"/>
    </sheetView>
  </sheetViews>
  <sheetFormatPr defaultRowHeight="15"/>
  <cols>
    <col min="1" max="1" width="5.85546875" customWidth="1"/>
    <col min="2" max="2" width="11.85546875" customWidth="1"/>
    <col min="3" max="3" width="84.42578125" customWidth="1"/>
    <col min="4" max="4" width="19.5703125" customWidth="1"/>
    <col min="6" max="6" width="12.7109375" customWidth="1"/>
    <col min="13" max="13" width="9.5703125" customWidth="1"/>
  </cols>
  <sheetData>
    <row r="2" spans="2:17" ht="2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</row>
    <row r="3" spans="2:17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>
      <c r="B4" s="5" t="s">
        <v>1</v>
      </c>
      <c r="C4" s="6" t="s">
        <v>2</v>
      </c>
      <c r="D4" s="7" t="s">
        <v>3</v>
      </c>
      <c r="E4" s="8">
        <v>41671</v>
      </c>
      <c r="F4" s="8">
        <v>42036</v>
      </c>
      <c r="G4" s="8">
        <v>42401</v>
      </c>
      <c r="H4" s="8">
        <v>42767</v>
      </c>
      <c r="I4" s="8">
        <v>43132</v>
      </c>
      <c r="J4" s="8">
        <v>43497</v>
      </c>
      <c r="K4" s="8">
        <v>43862</v>
      </c>
      <c r="L4" s="8">
        <v>44228</v>
      </c>
      <c r="M4" s="8">
        <v>44593</v>
      </c>
      <c r="N4" s="8">
        <v>44958</v>
      </c>
      <c r="O4" s="8">
        <v>45323</v>
      </c>
    </row>
    <row r="5" spans="2:17">
      <c r="B5" s="9"/>
      <c r="C5" s="10"/>
      <c r="D5" s="11" t="s">
        <v>4</v>
      </c>
      <c r="E5" s="11" t="s">
        <v>5</v>
      </c>
      <c r="F5" s="12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</row>
    <row r="6" spans="2:17">
      <c r="B6" s="13" t="s">
        <v>16</v>
      </c>
      <c r="C6" s="13" t="s">
        <v>17</v>
      </c>
      <c r="D6" s="37">
        <v>16</v>
      </c>
      <c r="E6" s="14"/>
      <c r="F6" s="14">
        <v>8</v>
      </c>
      <c r="G6" s="14">
        <v>8</v>
      </c>
      <c r="H6" s="14"/>
      <c r="I6" s="14"/>
      <c r="J6" s="14"/>
      <c r="K6" s="14"/>
      <c r="L6" s="14"/>
      <c r="M6" s="14"/>
      <c r="N6" s="14"/>
      <c r="O6" s="14"/>
    </row>
    <row r="7" spans="2:17">
      <c r="B7" s="13" t="s">
        <v>18</v>
      </c>
      <c r="C7" s="13" t="s">
        <v>19</v>
      </c>
      <c r="D7" s="38">
        <v>8</v>
      </c>
      <c r="E7" s="14"/>
      <c r="F7" s="14"/>
      <c r="G7" s="14"/>
      <c r="H7" s="14">
        <v>4</v>
      </c>
      <c r="I7" s="14">
        <v>4</v>
      </c>
      <c r="J7" s="14"/>
      <c r="K7" s="14"/>
      <c r="L7" s="14"/>
      <c r="M7" s="14"/>
      <c r="N7" s="14"/>
      <c r="O7" s="14"/>
    </row>
    <row r="8" spans="2:17">
      <c r="B8" s="13" t="s">
        <v>20</v>
      </c>
      <c r="C8" s="13" t="s">
        <v>21</v>
      </c>
      <c r="D8" s="38">
        <v>8</v>
      </c>
      <c r="E8" s="14"/>
      <c r="F8" s="14"/>
      <c r="G8" s="14"/>
      <c r="H8" s="14"/>
      <c r="I8" s="14">
        <v>4</v>
      </c>
      <c r="J8" s="14">
        <v>4</v>
      </c>
      <c r="K8" s="14"/>
      <c r="L8" s="14"/>
      <c r="M8" s="14"/>
      <c r="N8" s="14"/>
      <c r="O8" s="14"/>
    </row>
    <row r="9" spans="2:17">
      <c r="B9" s="13" t="s">
        <v>22</v>
      </c>
      <c r="C9" s="13" t="s">
        <v>23</v>
      </c>
      <c r="D9" s="39">
        <v>4</v>
      </c>
      <c r="E9" s="14"/>
      <c r="F9" s="14"/>
      <c r="G9" s="14">
        <v>4</v>
      </c>
      <c r="H9" s="14"/>
      <c r="I9" s="14"/>
      <c r="J9" s="14"/>
      <c r="K9" s="14"/>
      <c r="L9" s="14"/>
      <c r="M9" s="14"/>
      <c r="N9" s="14"/>
      <c r="O9" s="14"/>
    </row>
    <row r="10" spans="2:17">
      <c r="B10" s="13" t="s">
        <v>24</v>
      </c>
      <c r="C10" s="13" t="s">
        <v>25</v>
      </c>
      <c r="D10" s="38">
        <v>8</v>
      </c>
      <c r="E10" s="14"/>
      <c r="F10" s="14"/>
      <c r="G10" s="14"/>
      <c r="H10" s="14" t="s">
        <v>26</v>
      </c>
      <c r="I10" s="14">
        <v>6</v>
      </c>
      <c r="J10" s="14">
        <v>2</v>
      </c>
      <c r="K10" s="14"/>
      <c r="L10" s="14"/>
      <c r="M10" s="14"/>
      <c r="N10" s="14"/>
      <c r="O10" s="14"/>
    </row>
    <row r="11" spans="2:17">
      <c r="B11" s="13" t="s">
        <v>27</v>
      </c>
      <c r="C11" s="13" t="s">
        <v>28</v>
      </c>
      <c r="D11" s="39">
        <v>8</v>
      </c>
      <c r="E11" s="14"/>
      <c r="F11" s="14"/>
      <c r="G11" s="14"/>
      <c r="H11" s="14"/>
      <c r="I11" s="14"/>
      <c r="J11" s="14">
        <v>8</v>
      </c>
      <c r="K11" s="14"/>
      <c r="L11" s="14"/>
      <c r="M11" s="14"/>
      <c r="N11" s="14"/>
      <c r="O11" s="14"/>
    </row>
    <row r="12" spans="2:17">
      <c r="B12" s="13" t="s">
        <v>29</v>
      </c>
      <c r="C12" s="13" t="s">
        <v>30</v>
      </c>
      <c r="D12" s="39">
        <v>8</v>
      </c>
      <c r="E12" s="14"/>
      <c r="F12" s="14"/>
      <c r="G12" s="14"/>
      <c r="H12" s="14"/>
      <c r="I12" s="14"/>
      <c r="J12" s="14"/>
      <c r="K12" s="14">
        <v>8</v>
      </c>
      <c r="L12" s="14"/>
      <c r="M12" s="14"/>
      <c r="N12" s="14"/>
      <c r="O12" s="14"/>
    </row>
    <row r="13" spans="2:17">
      <c r="B13" s="13" t="s">
        <v>31</v>
      </c>
      <c r="C13" s="13" t="s">
        <v>32</v>
      </c>
      <c r="D13" s="38">
        <v>8</v>
      </c>
      <c r="E13" s="14"/>
      <c r="F13" s="14"/>
      <c r="G13" s="14"/>
      <c r="H13" s="14"/>
      <c r="I13" s="14"/>
      <c r="J13" s="14"/>
      <c r="K13" s="14">
        <v>8</v>
      </c>
      <c r="L13" s="14"/>
      <c r="M13" s="14"/>
      <c r="N13" s="14"/>
      <c r="O13" s="14"/>
    </row>
    <row r="14" spans="2:17">
      <c r="B14" s="13" t="s">
        <v>33</v>
      </c>
      <c r="C14" s="13" t="s">
        <v>34</v>
      </c>
      <c r="D14" s="40">
        <v>4</v>
      </c>
      <c r="E14" s="14"/>
      <c r="F14" s="14"/>
      <c r="G14" s="14"/>
      <c r="H14" s="14"/>
      <c r="I14" s="14"/>
      <c r="J14" s="14"/>
      <c r="K14" s="14">
        <v>4</v>
      </c>
      <c r="L14" s="14"/>
      <c r="M14" s="14"/>
      <c r="N14" s="14"/>
      <c r="O14" s="14"/>
    </row>
    <row r="15" spans="2:17">
      <c r="B15" s="25" t="s">
        <v>35</v>
      </c>
      <c r="C15" s="25" t="s">
        <v>36</v>
      </c>
      <c r="D15" s="41">
        <v>8</v>
      </c>
      <c r="E15" s="26"/>
      <c r="F15" s="14"/>
      <c r="G15" s="14"/>
      <c r="H15" s="14"/>
      <c r="I15" s="14"/>
      <c r="J15" s="14"/>
      <c r="K15" s="14"/>
      <c r="L15" s="14"/>
      <c r="M15" s="14">
        <v>8</v>
      </c>
      <c r="N15" s="14"/>
      <c r="O15" s="14"/>
    </row>
    <row r="16" spans="2:17">
      <c r="B16" s="13" t="s">
        <v>37</v>
      </c>
      <c r="C16" s="13" t="s">
        <v>38</v>
      </c>
      <c r="D16" s="40">
        <v>4</v>
      </c>
      <c r="E16" s="14"/>
      <c r="F16" s="15"/>
      <c r="G16" s="16"/>
      <c r="H16" s="16"/>
      <c r="I16" s="16"/>
      <c r="J16" s="16"/>
      <c r="K16" s="16"/>
      <c r="L16" s="16"/>
      <c r="M16" s="16"/>
      <c r="N16" s="16">
        <v>4</v>
      </c>
      <c r="O16" s="16"/>
    </row>
    <row r="17" spans="2:15">
      <c r="B17" s="23" t="s">
        <v>39</v>
      </c>
      <c r="C17" s="24"/>
      <c r="D17" s="17">
        <f>SUM(D6:D16)</f>
        <v>84</v>
      </c>
      <c r="E17" s="18">
        <f>D17-SUM(E6:E16)</f>
        <v>84</v>
      </c>
      <c r="F17" s="19">
        <f>E17-SUM(F6:F16)</f>
        <v>76</v>
      </c>
      <c r="G17" s="19">
        <f>F17-SUM(G6:G16)</f>
        <v>64</v>
      </c>
      <c r="H17" s="19">
        <f>G17-SUM(H6:H16)</f>
        <v>60</v>
      </c>
      <c r="I17" s="19">
        <f>H17-SUM(I6:I16)</f>
        <v>46</v>
      </c>
      <c r="J17" s="19">
        <f>I17-SUM(J6:J16)</f>
        <v>32</v>
      </c>
      <c r="K17" s="19">
        <f>J17-SUM(K6:K16)</f>
        <v>12</v>
      </c>
      <c r="L17" s="19">
        <v>12</v>
      </c>
      <c r="M17" s="19">
        <v>4</v>
      </c>
      <c r="N17" s="19">
        <v>0</v>
      </c>
      <c r="O17" s="19">
        <v>0</v>
      </c>
    </row>
    <row r="18" spans="2:15">
      <c r="B18" s="20" t="s">
        <v>40</v>
      </c>
      <c r="C18" s="21"/>
      <c r="D18" s="22">
        <f>SUM(D6:D16)</f>
        <v>84</v>
      </c>
      <c r="E18" s="22">
        <f>$D$18-($D$18/11*1)</f>
        <v>76.36363636363636</v>
      </c>
      <c r="F18" s="22">
        <f>$D$18-($D$18/11*2)</f>
        <v>68.72727272727272</v>
      </c>
      <c r="G18" s="22">
        <f>$D$18-($D$18/11*3)</f>
        <v>61.090909090909093</v>
      </c>
      <c r="H18" s="22">
        <f>$D$18-($D$18/11*4)</f>
        <v>53.454545454545453</v>
      </c>
      <c r="I18" s="22">
        <f>$D$18-($D$18/11*5)</f>
        <v>45.818181818181813</v>
      </c>
      <c r="J18" s="22">
        <f>$D$18-($D$18/11*6)</f>
        <v>38.18181818181818</v>
      </c>
      <c r="K18" s="22">
        <f>$D$18-($D$18/11*7)</f>
        <v>30.545454545454547</v>
      </c>
      <c r="L18" s="22">
        <f>$D$18-($D$18/11*8)</f>
        <v>22.909090909090907</v>
      </c>
      <c r="M18" s="22">
        <f>$D$18-($D$18/11*9)</f>
        <v>15.272727272727266</v>
      </c>
      <c r="N18" s="22">
        <f>$D$18-($D$18/11*10)</f>
        <v>7.636363636363626</v>
      </c>
      <c r="O18" s="22">
        <f>$D$18-($D$18/11*11)</f>
        <v>0</v>
      </c>
    </row>
    <row r="19" spans="2:15">
      <c r="B19" s="28" t="s">
        <v>41</v>
      </c>
      <c r="C19" s="29"/>
      <c r="D19" s="42">
        <v>0</v>
      </c>
      <c r="E19" s="42">
        <v>0</v>
      </c>
      <c r="F19" s="42">
        <v>6</v>
      </c>
      <c r="G19" s="42">
        <v>16</v>
      </c>
      <c r="H19" s="42">
        <v>20</v>
      </c>
      <c r="I19" s="42">
        <v>34</v>
      </c>
      <c r="J19" s="42">
        <v>48</v>
      </c>
      <c r="K19" s="42">
        <v>70</v>
      </c>
      <c r="L19" s="42">
        <v>70</v>
      </c>
      <c r="M19" s="42">
        <v>78</v>
      </c>
      <c r="N19" s="42">
        <v>82</v>
      </c>
      <c r="O19" s="42">
        <v>82</v>
      </c>
    </row>
    <row r="21" spans="2:15">
      <c r="C21" s="48" t="s">
        <v>42</v>
      </c>
      <c r="D21" s="27" t="s">
        <v>43</v>
      </c>
      <c r="E21" s="32" t="s">
        <v>44</v>
      </c>
      <c r="F21" s="32"/>
      <c r="G21" s="32"/>
      <c r="H21" s="32"/>
    </row>
    <row r="22" spans="2:15">
      <c r="C22" s="49">
        <v>12</v>
      </c>
      <c r="D22" s="34" t="s">
        <v>16</v>
      </c>
      <c r="E22" s="30">
        <v>-4</v>
      </c>
      <c r="F22" s="30"/>
      <c r="G22" s="30"/>
      <c r="H22" s="30"/>
    </row>
    <row r="23" spans="2:15">
      <c r="C23" s="44">
        <v>8</v>
      </c>
      <c r="D23" s="34" t="s">
        <v>18</v>
      </c>
      <c r="E23" s="30">
        <v>0</v>
      </c>
      <c r="F23" s="30"/>
      <c r="G23" s="30"/>
      <c r="H23" s="30"/>
    </row>
    <row r="24" spans="2:15">
      <c r="C24" s="44">
        <v>8</v>
      </c>
      <c r="D24" s="34" t="s">
        <v>20</v>
      </c>
      <c r="E24" s="30">
        <v>0</v>
      </c>
      <c r="F24" s="30"/>
      <c r="G24" s="30"/>
      <c r="H24" s="30"/>
    </row>
    <row r="25" spans="2:15">
      <c r="C25" s="43">
        <v>4</v>
      </c>
      <c r="D25" s="34" t="s">
        <v>22</v>
      </c>
      <c r="E25" s="30">
        <v>0</v>
      </c>
      <c r="F25" s="30"/>
      <c r="G25" s="30"/>
      <c r="H25" s="30"/>
    </row>
    <row r="26" spans="2:15">
      <c r="C26" s="44">
        <v>8</v>
      </c>
      <c r="D26" s="34" t="s">
        <v>24</v>
      </c>
      <c r="E26" s="30">
        <v>0</v>
      </c>
      <c r="F26" s="30"/>
      <c r="G26" s="30"/>
      <c r="H26" s="30"/>
    </row>
    <row r="27" spans="2:15">
      <c r="C27" s="43">
        <v>8</v>
      </c>
      <c r="D27" s="34" t="s">
        <v>27</v>
      </c>
      <c r="E27" s="30">
        <v>0</v>
      </c>
      <c r="F27" s="30"/>
      <c r="G27" s="30"/>
      <c r="H27" s="30"/>
    </row>
    <row r="28" spans="2:15">
      <c r="C28" s="43">
        <v>8</v>
      </c>
      <c r="D28" s="34" t="s">
        <v>29</v>
      </c>
      <c r="E28" s="30">
        <v>0</v>
      </c>
      <c r="F28" s="30"/>
      <c r="G28" s="30"/>
      <c r="H28" s="30"/>
    </row>
    <row r="29" spans="2:15">
      <c r="C29" s="44">
        <v>8</v>
      </c>
      <c r="D29" s="34" t="s">
        <v>31</v>
      </c>
      <c r="E29" s="30">
        <v>0</v>
      </c>
      <c r="F29" s="30"/>
      <c r="G29" s="30"/>
      <c r="H29" s="30"/>
    </row>
    <row r="30" spans="2:15">
      <c r="C30" s="45">
        <v>6</v>
      </c>
      <c r="D30" s="34" t="s">
        <v>33</v>
      </c>
      <c r="E30" s="30">
        <v>2</v>
      </c>
      <c r="F30" s="30"/>
      <c r="G30" s="30"/>
      <c r="H30" s="30"/>
    </row>
    <row r="31" spans="2:15">
      <c r="C31" s="45">
        <v>8</v>
      </c>
      <c r="D31" s="35" t="s">
        <v>35</v>
      </c>
      <c r="E31" s="30">
        <v>0</v>
      </c>
      <c r="F31" s="30"/>
      <c r="G31" s="30"/>
      <c r="H31" s="30"/>
    </row>
    <row r="32" spans="2:15">
      <c r="C32" s="46">
        <v>4</v>
      </c>
      <c r="D32" s="35" t="s">
        <v>37</v>
      </c>
      <c r="E32" s="31">
        <v>0</v>
      </c>
      <c r="F32" s="31"/>
      <c r="G32" s="31"/>
      <c r="H32" s="31"/>
    </row>
    <row r="33" spans="3:8" ht="18.75">
      <c r="C33" s="47">
        <f>SUM(C22:C32)</f>
        <v>82</v>
      </c>
      <c r="D33" s="36" t="s">
        <v>45</v>
      </c>
      <c r="E33" s="33">
        <v>-2</v>
      </c>
      <c r="F33" s="33"/>
      <c r="G33" s="33"/>
      <c r="H33" s="33"/>
    </row>
  </sheetData>
  <mergeCells count="20">
    <mergeCell ref="E29:H29"/>
    <mergeCell ref="E30:H30"/>
    <mergeCell ref="E31:H31"/>
    <mergeCell ref="E32:H32"/>
    <mergeCell ref="E33:H33"/>
    <mergeCell ref="B19:C19"/>
    <mergeCell ref="E21:H21"/>
    <mergeCell ref="E22:H22"/>
    <mergeCell ref="E23:H23"/>
    <mergeCell ref="E24:H24"/>
    <mergeCell ref="E27:H27"/>
    <mergeCell ref="E25:H25"/>
    <mergeCell ref="E26:H26"/>
    <mergeCell ref="E28:H28"/>
    <mergeCell ref="B2:O2"/>
    <mergeCell ref="B3:Q3"/>
    <mergeCell ref="B4:B5"/>
    <mergeCell ref="C4:C5"/>
    <mergeCell ref="B17:C17"/>
    <mergeCell ref="B18:C18"/>
  </mergeCells>
  <dataValidations count="2">
    <dataValidation allowBlank="1" showInputMessage="1" showErrorMessage="1" sqref="D6:D16" xr:uid="{0897592D-7C49-44D0-8B19-C9E53A944710}"/>
    <dataValidation type="list" allowBlank="1" sqref="C22:C29" xr:uid="{D81EC4DB-2319-4361-B969-F1086C591B13}">
      <formula1>"0%,10%,20%,25%,30%,35%,40%,45%,50%,55%,60%,65%,70%,75%,80%,85%,90%,95%,100%"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2026-02-28T01:35:35Z</dcterms:created>
  <dcterms:modified xsi:type="dcterms:W3CDTF">2026-02-28T04:14:23Z</dcterms:modified>
  <cp:category/>
  <cp:contentStatus/>
</cp:coreProperties>
</file>