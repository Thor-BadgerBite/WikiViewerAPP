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2B116591-F2C0-402C-BAD7-4554F18A11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11" i="1"/>
  <c r="E11" i="1" s="1"/>
  <c r="F11" i="1" s="1"/>
  <c r="G11" i="1" s="1"/>
  <c r="D12" i="1"/>
  <c r="Q12" i="1" l="1"/>
  <c r="P12" i="1"/>
  <c r="O12" i="1"/>
  <c r="N12" i="1"/>
  <c r="M12" i="1"/>
  <c r="L12" i="1"/>
  <c r="K12" i="1"/>
  <c r="J12" i="1"/>
  <c r="I12" i="1"/>
  <c r="H12" i="1"/>
  <c r="G12" i="1"/>
  <c r="F12" i="1"/>
  <c r="E12" i="1"/>
</calcChain>
</file>

<file path=xl/sharedStrings.xml><?xml version="1.0" encoding="utf-8"?>
<sst xmlns="http://schemas.openxmlformats.org/spreadsheetml/2006/main" count="43" uniqueCount="37">
  <si>
    <t xml:space="preserve">SPRINT 1 BURNDOWN CHART </t>
  </si>
  <si>
    <t>Activity code</t>
  </si>
  <si>
    <t>Activity Description</t>
  </si>
  <si>
    <t>Initial Estimate</t>
  </si>
  <si>
    <t>Day 0</t>
  </si>
  <si>
    <t xml:space="preserve">Day 1 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</si>
  <si>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</si>
  <si>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</si>
  <si>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</si>
  <si>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</si>
  <si>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</si>
  <si>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</si>
  <si>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</si>
  <si>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</si>
  <si>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</si>
  <si>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</si>
  <si>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 xml:space="preserve">Day 12 </t>
  </si>
  <si>
    <t>Day 13</t>
  </si>
  <si>
    <t>PR.1</t>
  </si>
  <si>
    <t xml:space="preserve">Ανάλυση Απαιτήσεων </t>
  </si>
  <si>
    <t>PR.2</t>
  </si>
  <si>
    <t>Σχεδιασμός σε επίπεδο υλοποίησης - αρχιτεκτονικής λογισμικού - αρχικοποίηση ΒΔ</t>
  </si>
  <si>
    <t>PR.3</t>
  </si>
  <si>
    <t xml:space="preserve">MEETING για συμφωνία ως προς τη δομή της εφαρμογής - υλοποίηση σχετικών διαγραμμάτων </t>
  </si>
  <si>
    <t>PR.4</t>
  </si>
  <si>
    <t>Εξοικείωση με βιβλιοθήκες - εργαλεία - μεθοδολογία SCRUM</t>
  </si>
  <si>
    <t>PR.5</t>
  </si>
  <si>
    <t xml:space="preserve">Επίλυση θεμάτων που ανάγονται σε συμβατότητες βιβλιοθηκών </t>
  </si>
  <si>
    <t>R1</t>
  </si>
  <si>
    <t>Δημιουργία του βασικού GUI</t>
  </si>
  <si>
    <t>Remaining Effort from initial estimate</t>
  </si>
  <si>
    <t>Ideal Trend</t>
  </si>
  <si>
    <t>aggregate hours of actual effort</t>
  </si>
  <si>
    <t xml:space="preserve">Ώρες που χρειάστηκαν / δαπανήθηκαν </t>
  </si>
  <si>
    <t>ACTIVITY CODE</t>
  </si>
  <si>
    <t>COMPARED WITH ESTIMATE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</si>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</sst>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ahoma"/>
      <family val="2"/>
      <scheme val="minor"/>
    </font>
    <font>
      <sz val="12"/>
      <color rgb="FF000000"/>
      <name val="Tahoma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ahoma"/>
      <family val="2"/>
      <scheme val="minor"/>
    </font>
    <font>
      <b/>
      <sz val="14"/>
      <color rgb="FF000000"/>
      <name val="Tahoma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8" fillId="9" borderId="2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 indent="1"/>
    </xf>
    <xf numFmtId="0" fontId="3" fillId="10" borderId="3" xfId="1" applyNumberFormat="1" applyFont="1" applyFill="1" applyBorder="1" applyAlignment="1">
      <alignment horizontal="center" vertical="center" indent="1"/>
    </xf>
    <xf numFmtId="0" fontId="3" fillId="10" borderId="1" xfId="1" applyNumberFormat="1" applyFont="1" applyFill="1" applyBorder="1" applyAlignment="1">
      <alignment horizontal="center" vertical="center" indent="1"/>
    </xf>
    <xf numFmtId="0" fontId="4" fillId="10" borderId="1" xfId="1" applyNumberFormat="1" applyFont="1" applyFill="1" applyBorder="1" applyAlignment="1">
      <alignment horizontal="center" vertical="center" indent="1"/>
    </xf>
    <xf numFmtId="0" fontId="7" fillId="10" borderId="21" xfId="1" applyNumberFormat="1" applyFont="1" applyFill="1" applyBorder="1" applyAlignment="1">
      <alignment horizontal="center" vertical="center" inden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1 BURNDOWN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Remaining Effort from initial 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Sheet1!D4:Q4</c:f>
              <c:strCache>
                <c:ptCount val="14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 </c:v>
                </c:pt>
                <c:pt idx="13">
                  <c:v>Day 13</c:v>
                </c:pt>
              </c:strCache>
            </c:strRef>
          </c:cat>
          <c:val>
            <c:numRef>
              <c:f>Sheet1!$C$11:$Q$11</c:f>
              <c:numCache>
                <c:formatCode>General</c:formatCode>
                <c:ptCount val="15"/>
                <c:pt idx="1">
                  <c:v>56</c:v>
                </c:pt>
                <c:pt idx="2">
                  <c:v>48</c:v>
                </c:pt>
                <c:pt idx="3">
                  <c:v>40</c:v>
                </c:pt>
                <c:pt idx="4">
                  <c:v>36</c:v>
                </c:pt>
                <c:pt idx="5">
                  <c:v>36</c:v>
                </c:pt>
                <c:pt idx="6">
                  <c:v>32</c:v>
                </c:pt>
                <c:pt idx="7">
                  <c:v>28</c:v>
                </c:pt>
                <c:pt idx="8">
                  <c:v>20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E-4FE6-A02B-94565ADB80EF}"/>
            </c:ext>
          </c:extLst>
        </c:ser>
        <c:ser>
          <c:idx val="1"/>
          <c:order val="1"/>
          <c:tx>
            <c:strRef>
              <c:f>Sheet1!$B$12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Sheet1!D4:Q4</c:f>
              <c:strCache>
                <c:ptCount val="14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 </c:v>
                </c:pt>
                <c:pt idx="13">
                  <c:v>Day 13</c:v>
                </c:pt>
              </c:strCache>
            </c:strRef>
          </c:cat>
          <c:val>
            <c:numRef>
              <c:f>Sheet1!$C$12:$Q$12</c:f>
              <c:numCache>
                <c:formatCode>General</c:formatCode>
                <c:ptCount val="15"/>
                <c:pt idx="1">
                  <c:v>56</c:v>
                </c:pt>
                <c:pt idx="2">
                  <c:v>51.692307692307693</c:v>
                </c:pt>
                <c:pt idx="3">
                  <c:v>47.384615384615387</c:v>
                </c:pt>
                <c:pt idx="4">
                  <c:v>43.07692307692308</c:v>
                </c:pt>
                <c:pt idx="5">
                  <c:v>38.769230769230774</c:v>
                </c:pt>
                <c:pt idx="6">
                  <c:v>34.461538461538467</c:v>
                </c:pt>
                <c:pt idx="7">
                  <c:v>30.153846153846153</c:v>
                </c:pt>
                <c:pt idx="8">
                  <c:v>25.846153846153847</c:v>
                </c:pt>
                <c:pt idx="9">
                  <c:v>21.53846153846154</c:v>
                </c:pt>
                <c:pt idx="10">
                  <c:v>17.230769230769234</c:v>
                </c:pt>
                <c:pt idx="11">
                  <c:v>12.923076923076927</c:v>
                </c:pt>
                <c:pt idx="12">
                  <c:v>8.6153846153846203</c:v>
                </c:pt>
                <c:pt idx="13">
                  <c:v>4.3076923076923066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DE-4FE6-A02B-94565ADB80EF}"/>
            </c:ext>
          </c:extLst>
        </c:ser>
        <c:ser>
          <c:idx val="2"/>
          <c:order val="2"/>
          <c:tx>
            <c:strRef>
              <c:f>Sheet1!$B$13</c:f>
              <c:strCache>
                <c:ptCount val="1"/>
                <c:pt idx="0">
                  <c:v>aggregate hours of actual effort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Sheet1!D4:Q4</c:f>
              <c:strCache>
                <c:ptCount val="14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 </c:v>
                </c:pt>
                <c:pt idx="13">
                  <c:v>Day 13</c:v>
                </c:pt>
              </c:strCache>
            </c:strRef>
          </c:cat>
          <c:val>
            <c:numRef>
              <c:f>Sheet1!$C$13:$Q$13</c:f>
              <c:numCache>
                <c:formatCode>General</c:formatCode>
                <c:ptCount val="15"/>
                <c:pt idx="1">
                  <c:v>0</c:v>
                </c:pt>
                <c:pt idx="2">
                  <c:v>10</c:v>
                </c:pt>
                <c:pt idx="3">
                  <c:v>18</c:v>
                </c:pt>
                <c:pt idx="4">
                  <c:v>22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38</c:v>
                </c:pt>
                <c:pt idx="9">
                  <c:v>46</c:v>
                </c:pt>
                <c:pt idx="10">
                  <c:v>54</c:v>
                </c:pt>
                <c:pt idx="11">
                  <c:v>58</c:v>
                </c:pt>
                <c:pt idx="12">
                  <c:v>62</c:v>
                </c:pt>
                <c:pt idx="13">
                  <c:v>66</c:v>
                </c:pt>
                <c:pt idx="1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DE-4FE6-A02B-94565ADB8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987720"/>
        <c:axId val="1529495048"/>
      </c:lineChart>
      <c:catAx>
        <c:axId val="152798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95048"/>
        <c:crosses val="autoZero"/>
        <c:auto val="1"/>
        <c:lblAlgn val="ctr"/>
        <c:lblOffset val="100"/>
        <c:noMultiLvlLbl val="0"/>
      </c:catAx>
      <c:valAx>
        <c:axId val="15294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8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13</xdr:row>
      <xdr:rowOff>28575</xdr:rowOff>
    </xdr:from>
    <xdr:to>
      <xdr:col>24</xdr:col>
      <xdr:colOff>190500</xdr:colOff>
      <xdr:row>32</xdr:row>
      <xdr:rowOff>409575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F6EF0D-90D6-F631-E57C-1EE5102B9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3"/>
  <sheetViews>
    <sheetView tabSelected="1" workbookViewId="0">
      <selection activeCell="C22" sqref="C15:C22"/>
    </sheetView>
  </sheetViews>
  <sheetFormatPr defaultRowHeight="15"/>
  <cols>
    <col min="1" max="1" width="4.85546875" customWidth="1"/>
    <col min="2" max="2" width="14.5703125" customWidth="1"/>
    <col min="3" max="3" width="86" customWidth="1"/>
    <col min="4" max="4" width="21.28515625" customWidth="1"/>
    <col min="5" max="5" width="13.5703125" customWidth="1"/>
    <col min="6" max="6" width="16" bestFit="1" customWidth="1"/>
    <col min="7" max="7" width="13.28515625" bestFit="1" customWidth="1"/>
  </cols>
  <sheetData>
    <row r="1" spans="2:18" ht="41.25" customHeight="1"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2:18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8">
      <c r="B3" s="16" t="s">
        <v>1</v>
      </c>
      <c r="C3" s="17" t="s">
        <v>2</v>
      </c>
      <c r="D3" s="18" t="s">
        <v>3</v>
      </c>
      <c r="E3" s="19">
        <v>36923</v>
      </c>
      <c r="F3" s="19">
        <v>37288</v>
      </c>
      <c r="G3" s="19">
        <v>37653</v>
      </c>
      <c r="H3" s="19">
        <v>38018</v>
      </c>
      <c r="I3" s="19">
        <v>38384</v>
      </c>
      <c r="J3" s="19">
        <v>38749</v>
      </c>
      <c r="K3" s="19">
        <v>39114</v>
      </c>
      <c r="L3" s="19">
        <v>39479</v>
      </c>
      <c r="M3" s="19">
        <v>39845</v>
      </c>
      <c r="N3" s="19">
        <v>40210</v>
      </c>
      <c r="O3" s="19">
        <v>40575</v>
      </c>
      <c r="P3" s="19">
        <v>40940</v>
      </c>
      <c r="Q3" s="19">
        <v>41306</v>
      </c>
      <c r="R3" s="20"/>
    </row>
    <row r="4" spans="2:18">
      <c r="B4" s="21"/>
      <c r="C4" s="22"/>
      <c r="D4" s="23" t="s">
        <v>4</v>
      </c>
      <c r="E4" s="23" t="s">
        <v>5</v>
      </c>
      <c r="F4" s="18" t="s">
        <v>6</v>
      </c>
      <c r="G4" s="23" t="s">
        <v>7</v>
      </c>
      <c r="H4" s="23" t="s">
        <v>8</v>
      </c>
      <c r="I4" s="23" t="s">
        <v>9</v>
      </c>
      <c r="J4" s="23" t="s">
        <v>10</v>
      </c>
      <c r="K4" s="23" t="s">
        <v>11</v>
      </c>
      <c r="L4" s="23" t="s">
        <v>12</v>
      </c>
      <c r="M4" s="23" t="s">
        <v>13</v>
      </c>
      <c r="N4" s="23" t="s">
        <v>14</v>
      </c>
      <c r="O4" s="23" t="s">
        <v>15</v>
      </c>
      <c r="P4" s="23" t="s">
        <v>16</v>
      </c>
      <c r="Q4" s="23" t="s">
        <v>17</v>
      </c>
      <c r="R4" s="20"/>
    </row>
    <row r="5" spans="2:18">
      <c r="B5" s="1" t="s">
        <v>18</v>
      </c>
      <c r="C5" s="1" t="s">
        <v>19</v>
      </c>
      <c r="D5" s="2">
        <v>8</v>
      </c>
      <c r="E5" s="2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>
      <c r="B6" s="1" t="s">
        <v>20</v>
      </c>
      <c r="C6" s="1" t="s">
        <v>21</v>
      </c>
      <c r="D6" s="2">
        <v>8</v>
      </c>
      <c r="E6" s="2"/>
      <c r="F6" s="2">
        <v>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>
      <c r="B7" s="1" t="s">
        <v>22</v>
      </c>
      <c r="C7" s="1" t="s">
        <v>23</v>
      </c>
      <c r="D7" s="2">
        <v>4</v>
      </c>
      <c r="E7" s="2"/>
      <c r="F7" s="2"/>
      <c r="G7" s="2">
        <v>4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>
      <c r="B8" s="1" t="s">
        <v>24</v>
      </c>
      <c r="C8" s="1" t="s">
        <v>25</v>
      </c>
      <c r="D8" s="2">
        <v>16</v>
      </c>
      <c r="E8" s="2"/>
      <c r="F8" s="2"/>
      <c r="G8" s="2"/>
      <c r="H8" s="2"/>
      <c r="I8" s="2">
        <v>4</v>
      </c>
      <c r="J8" s="2">
        <v>4</v>
      </c>
      <c r="K8" s="2">
        <v>4</v>
      </c>
      <c r="L8" s="2">
        <v>4</v>
      </c>
      <c r="M8" s="2">
        <v>4</v>
      </c>
      <c r="N8" s="2"/>
      <c r="O8" s="2"/>
      <c r="P8" s="2"/>
      <c r="Q8" s="2"/>
    </row>
    <row r="9" spans="2:18">
      <c r="B9" s="1" t="s">
        <v>26</v>
      </c>
      <c r="C9" s="1" t="s">
        <v>27</v>
      </c>
      <c r="D9" s="5">
        <v>16</v>
      </c>
      <c r="E9" s="2"/>
      <c r="F9" s="2"/>
      <c r="G9" s="2"/>
      <c r="H9" s="2"/>
      <c r="I9" s="2"/>
      <c r="J9" s="2"/>
      <c r="K9" s="2">
        <v>4</v>
      </c>
      <c r="L9" s="2">
        <v>4</v>
      </c>
      <c r="M9" s="2">
        <v>4</v>
      </c>
      <c r="N9" s="2">
        <v>4</v>
      </c>
      <c r="O9" s="2"/>
      <c r="P9" s="2"/>
      <c r="Q9" s="2"/>
    </row>
    <row r="10" spans="2:18">
      <c r="B10" s="1" t="s">
        <v>28</v>
      </c>
      <c r="C10" s="4" t="s">
        <v>29</v>
      </c>
      <c r="D10" s="6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4</v>
      </c>
      <c r="Q10" s="5"/>
    </row>
    <row r="11" spans="2:18">
      <c r="B11" s="10" t="s">
        <v>30</v>
      </c>
      <c r="C11" s="11"/>
      <c r="D11" s="12">
        <f>SUM(D5:D10)</f>
        <v>56</v>
      </c>
      <c r="E11" s="13">
        <f>D11-SUM(E5:E10)</f>
        <v>48</v>
      </c>
      <c r="F11" s="14">
        <f>E11-SUM(F5:F10)</f>
        <v>40</v>
      </c>
      <c r="G11" s="14">
        <f>F11-SUM(G5:G10)</f>
        <v>36</v>
      </c>
      <c r="H11" s="14">
        <v>36</v>
      </c>
      <c r="I11" s="14">
        <v>32</v>
      </c>
      <c r="J11" s="14">
        <v>28</v>
      </c>
      <c r="K11" s="14">
        <v>20</v>
      </c>
      <c r="L11" s="14">
        <v>12</v>
      </c>
      <c r="M11" s="14">
        <v>12</v>
      </c>
      <c r="N11" s="14">
        <v>12</v>
      </c>
      <c r="O11" s="14">
        <v>8</v>
      </c>
      <c r="P11" s="14">
        <v>0</v>
      </c>
      <c r="Q11" s="15">
        <v>0</v>
      </c>
    </row>
    <row r="12" spans="2:18">
      <c r="B12" s="24" t="s">
        <v>31</v>
      </c>
      <c r="C12" s="25"/>
      <c r="D12" s="26">
        <f>SUM(D5:D10)</f>
        <v>56</v>
      </c>
      <c r="E12" s="26">
        <f>$D$12-($D$12/13*1)</f>
        <v>51.692307692307693</v>
      </c>
      <c r="F12" s="26">
        <f>$D$12-($D$12/13*2)</f>
        <v>47.384615384615387</v>
      </c>
      <c r="G12" s="26">
        <f>$D$12-($D$12/13*3)</f>
        <v>43.07692307692308</v>
      </c>
      <c r="H12" s="26">
        <f>$D$12-($D$12/13*4)</f>
        <v>38.769230769230774</v>
      </c>
      <c r="I12" s="26">
        <f>$D$12-($D$12/13*5)</f>
        <v>34.461538461538467</v>
      </c>
      <c r="J12" s="26">
        <f>$D$12-($D$12/13*6)</f>
        <v>30.153846153846153</v>
      </c>
      <c r="K12" s="26">
        <f>$D$12-($D$12/13*7)</f>
        <v>25.846153846153847</v>
      </c>
      <c r="L12" s="26">
        <f>$D$12-($D$12/13*8)</f>
        <v>21.53846153846154</v>
      </c>
      <c r="M12" s="26">
        <f>$D$12-($D$12/13*9)</f>
        <v>17.230769230769234</v>
      </c>
      <c r="N12" s="26">
        <f>$D$12-($D$12/13*10)</f>
        <v>12.923076923076927</v>
      </c>
      <c r="O12" s="26">
        <f>$D$12-($D$12/13*11)</f>
        <v>8.6153846153846203</v>
      </c>
      <c r="P12" s="26">
        <f>$D$12-($D$12/13*12)</f>
        <v>4.3076923076923066</v>
      </c>
      <c r="Q12" s="27">
        <f>$D$12-($D$12/13*13)</f>
        <v>0</v>
      </c>
    </row>
    <row r="13" spans="2:18">
      <c r="B13" s="28" t="s">
        <v>32</v>
      </c>
      <c r="C13" s="28"/>
      <c r="D13" s="29">
        <v>0</v>
      </c>
      <c r="E13" s="29">
        <v>10</v>
      </c>
      <c r="F13" s="29">
        <v>18</v>
      </c>
      <c r="G13" s="29">
        <v>22</v>
      </c>
      <c r="H13" s="29">
        <v>22</v>
      </c>
      <c r="I13" s="29">
        <v>26</v>
      </c>
      <c r="J13" s="29">
        <v>30</v>
      </c>
      <c r="K13" s="29">
        <v>38</v>
      </c>
      <c r="L13" s="29">
        <v>46</v>
      </c>
      <c r="M13" s="29">
        <v>54</v>
      </c>
      <c r="N13" s="29">
        <v>58</v>
      </c>
      <c r="O13" s="29">
        <v>62</v>
      </c>
      <c r="P13" s="29">
        <v>66</v>
      </c>
      <c r="Q13" s="29">
        <v>66</v>
      </c>
    </row>
    <row r="14" spans="2:18">
      <c r="B14" s="30"/>
      <c r="C14" s="34"/>
      <c r="D14" s="35"/>
      <c r="E14" s="35"/>
      <c r="F14" s="35"/>
      <c r="G14" s="35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2:18">
      <c r="C15" s="41" t="s">
        <v>33</v>
      </c>
      <c r="D15" s="36" t="s">
        <v>34</v>
      </c>
      <c r="E15" s="32" t="s">
        <v>35</v>
      </c>
      <c r="F15" s="32"/>
      <c r="G15" s="32"/>
    </row>
    <row r="16" spans="2:18">
      <c r="C16" s="42">
        <v>10</v>
      </c>
      <c r="D16" s="37" t="s">
        <v>18</v>
      </c>
      <c r="E16" s="31">
        <v>2</v>
      </c>
      <c r="F16" s="31"/>
      <c r="G16" s="31"/>
    </row>
    <row r="17" spans="3:7">
      <c r="C17" s="43">
        <v>8</v>
      </c>
      <c r="D17" s="38" t="s">
        <v>20</v>
      </c>
      <c r="E17" s="31">
        <v>0</v>
      </c>
      <c r="F17" s="31"/>
      <c r="G17" s="31"/>
    </row>
    <row r="18" spans="3:7">
      <c r="C18" s="43">
        <v>4</v>
      </c>
      <c r="D18" s="38" t="s">
        <v>22</v>
      </c>
      <c r="E18" s="31">
        <v>0</v>
      </c>
      <c r="F18" s="31"/>
      <c r="G18" s="31"/>
    </row>
    <row r="19" spans="3:7">
      <c r="C19" s="43">
        <v>20</v>
      </c>
      <c r="D19" s="38" t="s">
        <v>24</v>
      </c>
      <c r="E19" s="31">
        <v>0</v>
      </c>
      <c r="F19" s="31"/>
      <c r="G19" s="31"/>
    </row>
    <row r="20" spans="3:7">
      <c r="C20" s="44">
        <v>20</v>
      </c>
      <c r="D20" s="38" t="s">
        <v>26</v>
      </c>
      <c r="E20" s="31">
        <v>4</v>
      </c>
      <c r="F20" s="31"/>
      <c r="G20" s="31"/>
    </row>
    <row r="21" spans="3:7">
      <c r="C21" s="44">
        <v>4</v>
      </c>
      <c r="D21" s="39" t="s">
        <v>28</v>
      </c>
      <c r="E21" s="31">
        <v>4</v>
      </c>
      <c r="F21" s="31"/>
      <c r="G21" s="31"/>
    </row>
    <row r="22" spans="3:7" ht="18.75">
      <c r="C22" s="45">
        <f>SUBTOTAL(109,C16:C21)</f>
        <v>66</v>
      </c>
      <c r="D22" s="40" t="s">
        <v>36</v>
      </c>
      <c r="E22" s="33">
        <v>10</v>
      </c>
      <c r="F22" s="33"/>
      <c r="G22" s="33"/>
    </row>
    <row r="32" spans="3:7" hidden="1"/>
    <row r="33" ht="51.75" customHeight="1"/>
  </sheetData>
  <mergeCells count="15">
    <mergeCell ref="E20:G20"/>
    <mergeCell ref="E21:G21"/>
    <mergeCell ref="E22:G22"/>
    <mergeCell ref="B13:C13"/>
    <mergeCell ref="E15:G15"/>
    <mergeCell ref="E16:G16"/>
    <mergeCell ref="E17:G17"/>
    <mergeCell ref="E18:G18"/>
    <mergeCell ref="E19:G19"/>
    <mergeCell ref="B1:Q1"/>
    <mergeCell ref="B2:Q2"/>
    <mergeCell ref="B11:C11"/>
    <mergeCell ref="B12:C12"/>
    <mergeCell ref="B3:B4"/>
    <mergeCell ref="C3:C4"/>
  </mergeCells>
  <dataValidations count="2">
    <dataValidation type="list" allowBlank="1" sqref="C16:C22" xr:uid="{29ADDE3A-C7DB-4A3E-AB55-67FE93755D57}">
      <formula1>"0%,10%,20%,25%,30%,35%,40%,45%,50%,55%,60%,65%,70%,75%,80%,85%,90%,95%,100%"</formula1>
    </dataValidation>
    <dataValidation allowBlank="1" showInputMessage="1" showErrorMessage="1" prompt="Enter progress percentage in this column under this heading" sqref="C15" xr:uid="{929BE121-6DD7-4F5E-929C-1DC2BC5D11C4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2026-02-28T00:06:37Z</dcterms:created>
  <dcterms:modified xsi:type="dcterms:W3CDTF">2026-02-28T04:14:28Z</dcterms:modified>
  <cp:category/>
  <cp:contentStatus/>
</cp:coreProperties>
</file>