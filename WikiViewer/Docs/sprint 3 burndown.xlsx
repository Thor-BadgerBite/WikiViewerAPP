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D092E1FD-09A9-40F3-B008-F8703C6B55C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F20" i="1"/>
  <c r="D19" i="1"/>
  <c r="L19" i="1"/>
  <c r="K19" i="1"/>
  <c r="J19" i="1"/>
  <c r="I19" i="1"/>
  <c r="H19" i="1"/>
  <c r="G19" i="1"/>
  <c r="F19" i="1"/>
  <c r="E19" i="1"/>
  <c r="D18" i="1"/>
  <c r="E18" i="1"/>
  <c r="F18" i="1" s="1"/>
  <c r="G18" i="1" s="1"/>
  <c r="H18" i="1" s="1"/>
  <c r="I18" i="1" s="1"/>
  <c r="J18" i="1" s="1"/>
  <c r="K18" i="1" s="1"/>
  <c r="L18" i="1" s="1"/>
</calcChain>
</file>

<file path=xl/sharedStrings.xml><?xml version="1.0" encoding="utf-8"?>
<sst xmlns="http://schemas.openxmlformats.org/spreadsheetml/2006/main" count="57" uniqueCount="44">
  <si>
    <t>SPRINT 3 BURNDOWN</t>
  </si>
  <si>
    <t>Activity code</t>
  </si>
  <si>
    <t>Activity Description</t>
  </si>
  <si>
    <t>Initial Estimate</t>
  </si>
  <si>
    <t>Day 0</t>
  </si>
  <si>
    <t xml:space="preserve">Day 1 </t>
  </si>
  <si>
    <t>Day 2</t>
  </si>
  <si>
    <t>Day 3</t>
  </si>
  <si>
    <t>Day 4</t>
  </si>
  <si>
    <t>Day 5</t>
  </si>
  <si>
    <t>Day 6</t>
  </si>
  <si>
    <t>Day 7</t>
  </si>
  <si>
    <t>Day 8</t>
  </si>
  <si>
    <t>R5.A</t>
  </si>
  <si>
    <t xml:space="preserve">Υλοποίηση δυνατότητας τροποποίησης λεπτομερειών άρθρου </t>
  </si>
  <si>
    <t>R5.B</t>
  </si>
  <si>
    <t>Προσφορά της δυνατότητας τροποίησης κατά την αναζήτηση άρθρου ως extend της (R2)</t>
  </si>
  <si>
    <t>R5.C</t>
  </si>
  <si>
    <t>προσφορά της δυνατότητας τροποίηση κατά την αναζήτηση άρθρου στη ΒΔ ( R4 )</t>
  </si>
  <si>
    <t>R6.A</t>
  </si>
  <si>
    <t xml:space="preserve">Υλοποίηση GUI για προβολή στατιστικών </t>
  </si>
  <si>
    <t>Υλοποίηση υπολογισμού στατιστικών πρρος προβολή</t>
  </si>
  <si>
    <t xml:space="preserve"> </t>
  </si>
  <si>
    <t>R6.C</t>
  </si>
  <si>
    <t>Υλοποίηση αποθηκευσης σε αρχείο PDF</t>
  </si>
  <si>
    <t>MISC 1</t>
  </si>
  <si>
    <t xml:space="preserve">Διάγραμμα GHANT για τελική υποβολή </t>
  </si>
  <si>
    <t>MISC 2</t>
  </si>
  <si>
    <t xml:space="preserve">Διλαγραμμα burn down γιια τελική υποβολή </t>
  </si>
  <si>
    <t>MISC 3</t>
  </si>
  <si>
    <t>Δημιουργία user guide</t>
  </si>
  <si>
    <t>MISC 4</t>
  </si>
  <si>
    <t xml:space="preserve">Τελικός έλεγχος - DEMO </t>
  </si>
  <si>
    <t>MISC 5</t>
  </si>
  <si>
    <t>Δημιουργία video</t>
  </si>
  <si>
    <t>MISC 6</t>
  </si>
  <si>
    <t xml:space="preserve">Συγγραφή εργασίας - προς υποβολή εγγράφου </t>
  </si>
  <si>
    <t>Remaining Effort from initial estimate</t>
  </si>
  <si>
    <t>Ideal Trend</t>
  </si>
  <si>
    <t>aggregate hours of actual effort</t>
  </si>
  <si>
    <t>Ώρες που χρειάστηκαν ανά δραστηριότητα</t>
  </si>
  <si>
    <t>ACTIVITY CODE</t>
  </si>
  <si>
    <t>COMPARED WITH ESTIMATE</t>
  </si>
  <si>
    <t>ΣΥΝΟΛΟ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</si>
</sst>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ahoma"/>
      <family val="2"/>
      <scheme val="minor"/>
    </font>
    <font>
      <sz val="12"/>
      <color rgb="FF000000"/>
      <name val="Tahoma"/>
      <family val="2"/>
      <scheme val="minor"/>
    </font>
    <font>
      <sz val="11"/>
      <color rgb="FF000000"/>
      <name val="Calibri"/>
      <charset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17" fontId="2" fillId="2" borderId="3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2" fillId="8" borderId="0" xfId="0" applyFont="1" applyFill="1"/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7" fillId="8" borderId="3" xfId="0" applyFont="1" applyFill="1" applyBorder="1"/>
    <xf numFmtId="0" fontId="3" fillId="10" borderId="3" xfId="1" applyNumberFormat="1" applyFont="1" applyFill="1" applyBorder="1" applyAlignment="1">
      <alignment horizontal="right" vertical="center" indent="1"/>
    </xf>
    <xf numFmtId="0" fontId="4" fillId="10" borderId="3" xfId="1" applyNumberFormat="1" applyFont="1" applyFill="1" applyBorder="1" applyAlignment="1">
      <alignment horizontal="right" vertical="center" indent="1"/>
    </xf>
    <xf numFmtId="0" fontId="3" fillId="10" borderId="3" xfId="0" applyFont="1" applyFill="1" applyBorder="1" applyAlignment="1">
      <alignment horizontal="right" vertical="center" indent="1"/>
    </xf>
    <xf numFmtId="0" fontId="3" fillId="10" borderId="6" xfId="0" applyFont="1" applyFill="1" applyBorder="1" applyAlignment="1">
      <alignment horizontal="right" vertical="center" indent="1"/>
    </xf>
    <xf numFmtId="0" fontId="7" fillId="10" borderId="3" xfId="0" applyFont="1" applyFill="1" applyBorder="1"/>
    <xf numFmtId="0" fontId="2" fillId="10" borderId="3" xfId="0" applyFont="1" applyFill="1" applyBorder="1"/>
    <xf numFmtId="0" fontId="3" fillId="10" borderId="4" xfId="1" applyNumberFormat="1" applyFont="1" applyFill="1" applyBorder="1" applyAlignment="1">
      <alignment horizontal="right" vertical="center" indent="1"/>
    </xf>
    <xf numFmtId="0" fontId="3" fillId="3" borderId="3" xfId="1" applyNumberFormat="1" applyFont="1" applyFill="1" applyBorder="1" applyAlignment="1">
      <alignment horizontal="center" vertical="center" indent="1"/>
    </xf>
    <xf numFmtId="0" fontId="4" fillId="4" borderId="3" xfId="1" applyNumberFormat="1" applyFont="1" applyFill="1" applyBorder="1" applyAlignment="1">
      <alignment horizontal="center" vertical="center" indent="1"/>
    </xf>
    <xf numFmtId="0" fontId="3" fillId="4" borderId="3" xfId="1" applyNumberFormat="1" applyFont="1" applyFill="1" applyBorder="1" applyAlignment="1">
      <alignment horizontal="center" vertical="center" indent="1"/>
    </xf>
    <xf numFmtId="0" fontId="3" fillId="4" borderId="3" xfId="0" applyFont="1" applyFill="1" applyBorder="1" applyAlignment="1">
      <alignment horizontal="center" vertical="center" indent="1"/>
    </xf>
    <xf numFmtId="0" fontId="3" fillId="4" borderId="6" xfId="0" applyFont="1" applyFill="1" applyBorder="1" applyAlignment="1">
      <alignment horizontal="center" vertical="center" indent="1"/>
    </xf>
    <xf numFmtId="0" fontId="0" fillId="7" borderId="11" xfId="0" applyFill="1" applyBorder="1" applyAlignment="1">
      <alignment horizontal="center"/>
    </xf>
    <xf numFmtId="0" fontId="0" fillId="7" borderId="3" xfId="0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Remaining Effort from initial 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Sheet1!D5:L5</c:f>
              <c:strCache>
                <c:ptCount val="9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</c:strCache>
            </c:strRef>
          </c:cat>
          <c:val>
            <c:numRef>
              <c:f>Sheet1!$C$18:$L$18</c:f>
              <c:numCache>
                <c:formatCode>General</c:formatCode>
                <c:ptCount val="10"/>
                <c:pt idx="1">
                  <c:v>96</c:v>
                </c:pt>
                <c:pt idx="2">
                  <c:v>96</c:v>
                </c:pt>
                <c:pt idx="3">
                  <c:v>80</c:v>
                </c:pt>
                <c:pt idx="4">
                  <c:v>76</c:v>
                </c:pt>
                <c:pt idx="5">
                  <c:v>72</c:v>
                </c:pt>
                <c:pt idx="6">
                  <c:v>60</c:v>
                </c:pt>
                <c:pt idx="7">
                  <c:v>42</c:v>
                </c:pt>
                <c:pt idx="8">
                  <c:v>18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2-414B-82E1-5C1B292B6FA6}"/>
            </c:ext>
          </c:extLst>
        </c:ser>
        <c:ser>
          <c:idx val="1"/>
          <c:order val="1"/>
          <c:tx>
            <c:strRef>
              <c:f>Sheet1!$B$19</c:f>
              <c:strCache>
                <c:ptCount val="1"/>
                <c:pt idx="0">
                  <c:v>Ideal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Sheet1!D5:L5</c:f>
              <c:strCache>
                <c:ptCount val="9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</c:strCache>
            </c:strRef>
          </c:cat>
          <c:val>
            <c:numRef>
              <c:f>Sheet1!$C$19:$L$19</c:f>
              <c:numCache>
                <c:formatCode>General</c:formatCode>
                <c:ptCount val="10"/>
                <c:pt idx="1">
                  <c:v>96</c:v>
                </c:pt>
                <c:pt idx="2">
                  <c:v>84</c:v>
                </c:pt>
                <c:pt idx="3">
                  <c:v>72</c:v>
                </c:pt>
                <c:pt idx="4">
                  <c:v>60</c:v>
                </c:pt>
                <c:pt idx="5">
                  <c:v>48</c:v>
                </c:pt>
                <c:pt idx="6">
                  <c:v>36</c:v>
                </c:pt>
                <c:pt idx="7">
                  <c:v>24</c:v>
                </c:pt>
                <c:pt idx="8">
                  <c:v>12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2-414B-82E1-5C1B292B6FA6}"/>
            </c:ext>
          </c:extLst>
        </c:ser>
        <c:ser>
          <c:idx val="2"/>
          <c:order val="2"/>
          <c:tx>
            <c:strRef>
              <c:f>Sheet1!$B$20</c:f>
              <c:strCache>
                <c:ptCount val="1"/>
                <c:pt idx="0">
                  <c:v>aggregate hours of actual effort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Sheet1!D5:L5</c:f>
              <c:strCache>
                <c:ptCount val="9"/>
                <c:pt idx="0">
                  <c:v>Day 0</c:v>
                </c:pt>
                <c:pt idx="1">
                  <c:v>Day 1 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</c:strCache>
            </c:strRef>
          </c:cat>
          <c:val>
            <c:numRef>
              <c:f>Sheet1!$C$20:$L$20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36</c:v>
                </c:pt>
                <c:pt idx="7">
                  <c:v>54</c:v>
                </c:pt>
                <c:pt idx="8">
                  <c:v>78</c:v>
                </c:pt>
                <c:pt idx="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A2-414B-82E1-5C1B292B6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324359"/>
        <c:axId val="1940326407"/>
      </c:lineChart>
      <c:catAx>
        <c:axId val="1940324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26407"/>
        <c:crosses val="autoZero"/>
        <c:auto val="1"/>
        <c:lblAlgn val="ctr"/>
        <c:lblOffset val="100"/>
        <c:noMultiLvlLbl val="0"/>
      </c:catAx>
      <c:valAx>
        <c:axId val="1940326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324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20</xdr:row>
      <xdr:rowOff>95250</xdr:rowOff>
    </xdr:from>
    <xdr:to>
      <xdr:col>21</xdr:col>
      <xdr:colOff>333375</xdr:colOff>
      <xdr:row>36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017060-A325-A04B-F795-A8F2D9B34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6"/>
  <sheetViews>
    <sheetView tabSelected="1" topLeftCell="A7" workbookViewId="0">
      <selection activeCell="P30" sqref="P30"/>
    </sheetView>
  </sheetViews>
  <sheetFormatPr defaultRowHeight="15"/>
  <cols>
    <col min="1" max="1" width="2.42578125" customWidth="1"/>
    <col min="2" max="2" width="13.140625" customWidth="1"/>
    <col min="3" max="3" width="77.28515625" customWidth="1"/>
    <col min="4" max="4" width="14.7109375" customWidth="1"/>
  </cols>
  <sheetData>
    <row r="2" spans="2:12" ht="42" customHeight="1"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2"/>
    </row>
    <row r="4" spans="2:12">
      <c r="B4" s="1" t="s">
        <v>1</v>
      </c>
      <c r="C4" s="2" t="s">
        <v>2</v>
      </c>
      <c r="D4" s="3" t="s">
        <v>3</v>
      </c>
      <c r="E4" s="4">
        <v>45323</v>
      </c>
      <c r="F4" s="4">
        <v>45689</v>
      </c>
      <c r="G4" s="4">
        <v>46054</v>
      </c>
      <c r="H4" s="4">
        <v>46419</v>
      </c>
      <c r="I4" s="4">
        <v>46784</v>
      </c>
      <c r="J4" s="4">
        <v>36951</v>
      </c>
      <c r="K4" s="4">
        <v>37316</v>
      </c>
      <c r="L4" s="4">
        <v>37681</v>
      </c>
    </row>
    <row r="5" spans="2:12">
      <c r="B5" s="5"/>
      <c r="C5" s="6"/>
      <c r="D5" s="7" t="s">
        <v>4</v>
      </c>
      <c r="E5" s="7" t="s">
        <v>5</v>
      </c>
      <c r="F5" s="8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</row>
    <row r="6" spans="2:12">
      <c r="B6" s="10" t="s">
        <v>13</v>
      </c>
      <c r="C6" s="9" t="s">
        <v>14</v>
      </c>
      <c r="D6" s="47">
        <v>8</v>
      </c>
      <c r="E6" s="10"/>
      <c r="F6" s="10">
        <v>8</v>
      </c>
      <c r="G6" s="10"/>
      <c r="H6" s="10"/>
      <c r="I6" s="10"/>
      <c r="J6" s="10"/>
      <c r="K6" s="10"/>
      <c r="L6" s="10"/>
    </row>
    <row r="7" spans="2:12">
      <c r="B7" s="10" t="s">
        <v>15</v>
      </c>
      <c r="C7" s="9" t="s">
        <v>16</v>
      </c>
      <c r="D7" s="48">
        <v>8</v>
      </c>
      <c r="E7" s="10"/>
      <c r="F7" s="10">
        <v>8</v>
      </c>
      <c r="G7" s="10"/>
      <c r="H7" s="10"/>
      <c r="I7" s="10"/>
      <c r="J7" s="10"/>
      <c r="K7" s="10"/>
      <c r="L7" s="10"/>
    </row>
    <row r="8" spans="2:12">
      <c r="B8" s="10" t="s">
        <v>17</v>
      </c>
      <c r="C8" s="9" t="s">
        <v>18</v>
      </c>
      <c r="D8" s="48">
        <v>8</v>
      </c>
      <c r="E8" s="10"/>
      <c r="F8" s="10"/>
      <c r="G8" s="10">
        <v>4</v>
      </c>
      <c r="H8" s="10">
        <v>4</v>
      </c>
      <c r="I8" s="10"/>
      <c r="J8" s="10"/>
      <c r="K8" s="10"/>
      <c r="L8" s="10"/>
    </row>
    <row r="9" spans="2:12">
      <c r="B9" s="10" t="s">
        <v>19</v>
      </c>
      <c r="C9" s="9" t="s">
        <v>20</v>
      </c>
      <c r="D9" s="49">
        <v>4</v>
      </c>
      <c r="E9" s="10"/>
      <c r="F9" s="10"/>
      <c r="G9" s="10"/>
      <c r="H9" s="10"/>
      <c r="I9" s="10">
        <v>4</v>
      </c>
      <c r="J9" s="10"/>
      <c r="K9" s="10"/>
      <c r="L9" s="10"/>
    </row>
    <row r="10" spans="2:12">
      <c r="B10" s="10" t="s">
        <v>19</v>
      </c>
      <c r="C10" s="9" t="s">
        <v>21</v>
      </c>
      <c r="D10" s="48">
        <v>4</v>
      </c>
      <c r="E10" s="10"/>
      <c r="F10" s="10"/>
      <c r="G10" s="10"/>
      <c r="H10" s="10" t="s">
        <v>22</v>
      </c>
      <c r="I10" s="10"/>
      <c r="J10" s="10">
        <v>4</v>
      </c>
      <c r="K10" s="10"/>
      <c r="L10" s="10"/>
    </row>
    <row r="11" spans="2:12">
      <c r="B11" s="10" t="s">
        <v>23</v>
      </c>
      <c r="C11" s="9" t="s">
        <v>24</v>
      </c>
      <c r="D11" s="49">
        <v>8</v>
      </c>
      <c r="E11" s="10"/>
      <c r="F11" s="10"/>
      <c r="G11" s="10"/>
      <c r="H11" s="10"/>
      <c r="I11" s="10"/>
      <c r="J11" s="10">
        <v>6</v>
      </c>
      <c r="K11" s="10">
        <v>2</v>
      </c>
      <c r="L11" s="10"/>
    </row>
    <row r="12" spans="2:12">
      <c r="B12" s="10" t="s">
        <v>25</v>
      </c>
      <c r="C12" s="9" t="s">
        <v>26</v>
      </c>
      <c r="D12" s="49">
        <v>4</v>
      </c>
      <c r="E12" s="10"/>
      <c r="F12" s="10"/>
      <c r="G12" s="10"/>
      <c r="H12" s="10"/>
      <c r="I12" s="10"/>
      <c r="J12" s="10"/>
      <c r="K12" s="10">
        <v>2</v>
      </c>
      <c r="L12" s="10">
        <v>2</v>
      </c>
    </row>
    <row r="13" spans="2:12">
      <c r="B13" s="10" t="s">
        <v>27</v>
      </c>
      <c r="C13" s="9" t="s">
        <v>28</v>
      </c>
      <c r="D13" s="48">
        <v>4</v>
      </c>
      <c r="E13" s="10"/>
      <c r="F13" s="10"/>
      <c r="G13" s="10"/>
      <c r="H13" s="10"/>
      <c r="I13" s="10"/>
      <c r="J13" s="10"/>
      <c r="K13" s="10">
        <v>4</v>
      </c>
      <c r="L13" s="10"/>
    </row>
    <row r="14" spans="2:12">
      <c r="B14" s="10" t="s">
        <v>29</v>
      </c>
      <c r="C14" s="9" t="s">
        <v>30</v>
      </c>
      <c r="D14" s="50">
        <v>8</v>
      </c>
      <c r="E14" s="10"/>
      <c r="F14" s="10"/>
      <c r="G14" s="10"/>
      <c r="H14" s="10"/>
      <c r="I14" s="10"/>
      <c r="J14" s="10"/>
      <c r="K14" s="10">
        <v>8</v>
      </c>
      <c r="L14" s="10"/>
    </row>
    <row r="15" spans="2:12">
      <c r="B15" s="12" t="s">
        <v>31</v>
      </c>
      <c r="C15" s="11" t="s">
        <v>32</v>
      </c>
      <c r="D15" s="51">
        <v>4</v>
      </c>
      <c r="E15" s="12"/>
      <c r="F15" s="10"/>
      <c r="G15" s="10"/>
      <c r="H15" s="10"/>
      <c r="I15" s="10"/>
      <c r="J15" s="10"/>
      <c r="K15" s="10"/>
      <c r="L15" s="10">
        <v>4</v>
      </c>
    </row>
    <row r="16" spans="2:12">
      <c r="B16" s="12" t="s">
        <v>33</v>
      </c>
      <c r="C16" s="11" t="s">
        <v>34</v>
      </c>
      <c r="D16" s="51">
        <v>4</v>
      </c>
      <c r="E16" s="10"/>
      <c r="F16" s="13"/>
      <c r="G16" s="14"/>
      <c r="H16" s="14"/>
      <c r="I16" s="14"/>
      <c r="J16" s="14"/>
      <c r="K16" s="14"/>
      <c r="L16" s="14">
        <v>4</v>
      </c>
    </row>
    <row r="17" spans="2:12">
      <c r="B17" s="10" t="s">
        <v>35</v>
      </c>
      <c r="C17" s="28" t="s">
        <v>36</v>
      </c>
      <c r="D17" s="50">
        <v>32</v>
      </c>
      <c r="E17" s="13"/>
      <c r="F17" s="13"/>
      <c r="G17" s="14"/>
      <c r="H17" s="14"/>
      <c r="I17" s="14">
        <v>8</v>
      </c>
      <c r="J17" s="14">
        <v>8</v>
      </c>
      <c r="K17" s="14">
        <v>8</v>
      </c>
      <c r="L17" s="14">
        <v>8</v>
      </c>
    </row>
    <row r="18" spans="2:12">
      <c r="B18" s="15" t="s">
        <v>37</v>
      </c>
      <c r="C18" s="16"/>
      <c r="D18" s="17">
        <f>SUM(D6:D17)</f>
        <v>96</v>
      </c>
      <c r="E18" s="18">
        <f>D18-SUM(E6:E16)</f>
        <v>96</v>
      </c>
      <c r="F18" s="19">
        <f>E18-SUM(F6:F17)</f>
        <v>80</v>
      </c>
      <c r="G18" s="19">
        <f>F18-SUM(G6:G17)</f>
        <v>76</v>
      </c>
      <c r="H18" s="19">
        <f>G18-SUM(H6:H17)</f>
        <v>72</v>
      </c>
      <c r="I18" s="19">
        <f>H18-SUM(I6:I17)</f>
        <v>60</v>
      </c>
      <c r="J18" s="19">
        <f>I18-SUM(J6:J17)</f>
        <v>42</v>
      </c>
      <c r="K18" s="19">
        <f>J18-SUM(K6:K17)</f>
        <v>18</v>
      </c>
      <c r="L18" s="19">
        <f>K18-SUM(L6:L17)</f>
        <v>0</v>
      </c>
    </row>
    <row r="19" spans="2:12">
      <c r="B19" s="26" t="s">
        <v>38</v>
      </c>
      <c r="C19" s="27"/>
      <c r="D19" s="23">
        <f>SUM(D6:D17)</f>
        <v>96</v>
      </c>
      <c r="E19" s="23">
        <f>$D$19-($D$19/8*1)</f>
        <v>84</v>
      </c>
      <c r="F19" s="23">
        <f>$D$19-($D$19/8*2)</f>
        <v>72</v>
      </c>
      <c r="G19" s="23">
        <f>$D$19-($D$19/8*3)</f>
        <v>60</v>
      </c>
      <c r="H19" s="23">
        <f>$D$19-($D$19/8*4)</f>
        <v>48</v>
      </c>
      <c r="I19" s="23">
        <f>$D$19-($D$19/8*5)</f>
        <v>36</v>
      </c>
      <c r="J19" s="23">
        <f>$D$19-($D$19/8*6)</f>
        <v>24</v>
      </c>
      <c r="K19" s="23">
        <f>$D$19-($D$19/8*7)</f>
        <v>12</v>
      </c>
      <c r="L19" s="23">
        <f>$D$19-($D$19/8*8)</f>
        <v>0</v>
      </c>
    </row>
    <row r="20" spans="2:12">
      <c r="B20" s="24" t="s">
        <v>39</v>
      </c>
      <c r="C20" s="25"/>
      <c r="D20" s="52">
        <v>0</v>
      </c>
      <c r="E20" s="52">
        <v>0</v>
      </c>
      <c r="F20" s="53">
        <f>SUM(F6:F8)</f>
        <v>16</v>
      </c>
      <c r="G20" s="53">
        <v>20</v>
      </c>
      <c r="H20" s="53">
        <v>24</v>
      </c>
      <c r="I20" s="53">
        <v>36</v>
      </c>
      <c r="J20" s="53">
        <v>54</v>
      </c>
      <c r="K20" s="53">
        <v>78</v>
      </c>
      <c r="L20" s="53">
        <v>96</v>
      </c>
    </row>
    <row r="23" spans="2:12">
      <c r="C23" s="45" t="s">
        <v>40</v>
      </c>
      <c r="D23" s="36" t="s">
        <v>41</v>
      </c>
      <c r="E23" s="29" t="s">
        <v>42</v>
      </c>
      <c r="F23" s="29"/>
      <c r="G23" s="29"/>
      <c r="H23" s="29"/>
    </row>
    <row r="24" spans="2:12">
      <c r="C24" s="46">
        <v>8</v>
      </c>
      <c r="D24" s="37" t="s">
        <v>13</v>
      </c>
      <c r="E24" s="30">
        <v>0</v>
      </c>
      <c r="F24" s="30"/>
      <c r="G24" s="30"/>
      <c r="H24" s="30"/>
    </row>
    <row r="25" spans="2:12">
      <c r="C25" s="41">
        <v>8</v>
      </c>
      <c r="D25" s="37" t="s">
        <v>15</v>
      </c>
      <c r="E25" s="30">
        <v>0</v>
      </c>
      <c r="F25" s="30"/>
      <c r="G25" s="30"/>
      <c r="H25" s="30"/>
    </row>
    <row r="26" spans="2:12">
      <c r="C26" s="41">
        <v>8</v>
      </c>
      <c r="D26" s="37" t="s">
        <v>17</v>
      </c>
      <c r="E26" s="30">
        <v>0</v>
      </c>
      <c r="F26" s="30"/>
      <c r="G26" s="30"/>
      <c r="H26" s="30"/>
    </row>
    <row r="27" spans="2:12">
      <c r="C27" s="40">
        <v>4</v>
      </c>
      <c r="D27" s="37" t="s">
        <v>19</v>
      </c>
      <c r="E27" s="30">
        <v>0</v>
      </c>
      <c r="F27" s="30"/>
      <c r="G27" s="30"/>
      <c r="H27" s="30"/>
    </row>
    <row r="28" spans="2:12">
      <c r="C28" s="41">
        <v>4</v>
      </c>
      <c r="D28" s="37" t="s">
        <v>19</v>
      </c>
      <c r="E28" s="30">
        <v>0</v>
      </c>
      <c r="F28" s="30"/>
      <c r="G28" s="30"/>
      <c r="H28" s="30"/>
    </row>
    <row r="29" spans="2:12">
      <c r="C29" s="40">
        <v>8</v>
      </c>
      <c r="D29" s="37" t="s">
        <v>23</v>
      </c>
      <c r="E29" s="30">
        <v>0</v>
      </c>
      <c r="F29" s="30"/>
      <c r="G29" s="30"/>
      <c r="H29" s="30"/>
    </row>
    <row r="30" spans="2:12">
      <c r="C30" s="40">
        <v>4</v>
      </c>
      <c r="D30" s="37" t="s">
        <v>25</v>
      </c>
      <c r="E30" s="30">
        <v>0</v>
      </c>
      <c r="F30" s="30"/>
      <c r="G30" s="30"/>
      <c r="H30" s="30"/>
    </row>
    <row r="31" spans="2:12">
      <c r="C31" s="41">
        <v>4</v>
      </c>
      <c r="D31" s="37" t="s">
        <v>27</v>
      </c>
      <c r="E31" s="30">
        <v>0</v>
      </c>
      <c r="F31" s="30"/>
      <c r="G31" s="30"/>
      <c r="H31" s="30"/>
    </row>
    <row r="32" spans="2:12">
      <c r="C32" s="42">
        <v>8</v>
      </c>
      <c r="D32" s="37" t="s">
        <v>29</v>
      </c>
      <c r="E32" s="30">
        <v>0</v>
      </c>
      <c r="F32" s="30"/>
      <c r="G32" s="30"/>
      <c r="H32" s="30"/>
    </row>
    <row r="33" spans="3:8">
      <c r="C33" s="43">
        <v>4</v>
      </c>
      <c r="D33" s="38" t="s">
        <v>31</v>
      </c>
      <c r="E33" s="30">
        <v>0</v>
      </c>
      <c r="F33" s="30"/>
      <c r="G33" s="30"/>
      <c r="H33" s="30"/>
    </row>
    <row r="34" spans="3:8">
      <c r="C34" s="43">
        <v>4</v>
      </c>
      <c r="D34" s="38" t="s">
        <v>33</v>
      </c>
      <c r="E34" s="31">
        <v>0</v>
      </c>
      <c r="F34" s="31"/>
      <c r="G34" s="31"/>
      <c r="H34" s="31"/>
    </row>
    <row r="35" spans="3:8">
      <c r="C35" s="42">
        <v>32</v>
      </c>
      <c r="D35" s="37" t="s">
        <v>35</v>
      </c>
      <c r="E35" s="33">
        <v>0</v>
      </c>
      <c r="F35" s="34"/>
      <c r="G35" s="34"/>
      <c r="H35" s="35"/>
    </row>
    <row r="36" spans="3:8" ht="18.75">
      <c r="C36" s="44">
        <f>SUM(C24:C34)</f>
        <v>64</v>
      </c>
      <c r="D36" s="39" t="s">
        <v>43</v>
      </c>
      <c r="E36" s="32">
        <v>-2</v>
      </c>
      <c r="F36" s="32"/>
      <c r="G36" s="32"/>
      <c r="H36" s="32"/>
    </row>
  </sheetData>
  <mergeCells count="20">
    <mergeCell ref="E32:H32"/>
    <mergeCell ref="E33:H33"/>
    <mergeCell ref="E34:H34"/>
    <mergeCell ref="E36:H36"/>
    <mergeCell ref="E35:H35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B20:C20"/>
    <mergeCell ref="B2:L2"/>
    <mergeCell ref="B4:B5"/>
    <mergeCell ref="C4:C5"/>
    <mergeCell ref="B18:C18"/>
    <mergeCell ref="B19:C19"/>
  </mergeCells>
  <dataValidations count="1">
    <dataValidation allowBlank="1" showInputMessage="1" showErrorMessage="1" sqref="D6:D17 C24:C35" xr:uid="{CAC2D463-47B4-4526-A290-11D3F5462930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2026-02-28T02:30:37Z</dcterms:created>
  <dcterms:modified xsi:type="dcterms:W3CDTF">2026-02-28T04:14:15Z</dcterms:modified>
  <cp:category/>
  <cp:contentStatus/>
</cp:coreProperties>
</file>